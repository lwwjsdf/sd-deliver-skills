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测试用例" sheetId="1" state="visible" r:id="rId1"/>
    <sheet xmlns:r="http://schemas.openxmlformats.org/officeDocument/2006/relationships" name="测试汇总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'SIT测试用例'!$A$1:$L$9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0" customWidth="1" min="4" max="4"/>
    <col width="40" customWidth="1" min="5" max="5"/>
    <col width="30" customWidth="1" min="6" max="6"/>
    <col width="10" customWidth="1" min="7" max="7"/>
    <col width="30" customWidth="1" min="8" max="8"/>
    <col width="10" customWidth="1" min="9" max="9"/>
    <col width="10" customWidth="1" min="10" max="10"/>
    <col width="12" customWidth="1" min="11" max="11"/>
    <col width="20" customWidth="1" min="12" max="12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场景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执行人</t>
        </is>
      </c>
      <c r="K1" s="1" t="inlineStr">
        <is>
          <t>执行日期</t>
        </is>
      </c>
      <c r="L1" s="1" t="inlineStr">
        <is>
          <t>备注</t>
        </is>
      </c>
    </row>
    <row r="2" ht="60" customHeight="1">
      <c r="A2" s="2" t="inlineStr">
        <is>
          <t>TC-001</t>
        </is>
      </c>
      <c r="B2" s="3" t="inlineStr">
        <is>
          <t>数据接入</t>
        </is>
      </c>
      <c r="C2" s="3" t="inlineStr">
        <is>
          <t>HTTP API 批量导入事件数据</t>
        </is>
      </c>
      <c r="D2" s="3" t="inlineStr">
        <is>
          <t>1. CDP 环境已部署
2. API_KEY 已配置
3. 测试数据集已准备（1000条）</t>
        </is>
      </c>
      <c r="E2" s="3" t="inlineStr">
        <is>
          <t>1. 调用 /sa 接口 POST 事件数据
2. 检查返回状态码 200
3. 等待 5 分钟后查询 events 表</t>
        </is>
      </c>
      <c r="F2" s="3" t="inlineStr">
        <is>
          <t>1. 接口返回 200
2. events 表中可查询到对应事件
3. 事件属性与发送数据一致</t>
        </is>
      </c>
      <c r="G2" s="2" t="inlineStr">
        <is>
          <t>P0</t>
        </is>
      </c>
      <c r="H2" s="3" t="inlineStr"/>
      <c r="I2" s="2" t="inlineStr">
        <is>
          <t>未执行</t>
        </is>
      </c>
      <c r="J2" s="2" t="inlineStr"/>
      <c r="K2" s="2" t="inlineStr"/>
      <c r="L2" s="3" t="inlineStr"/>
    </row>
    <row r="3" ht="60" customHeight="1">
      <c r="A3" s="2" t="inlineStr">
        <is>
          <t>TC-002</t>
        </is>
      </c>
      <c r="B3" s="3" t="inlineStr">
        <is>
          <t>数据接入</t>
        </is>
      </c>
      <c r="C3" s="3" t="inlineStr">
        <is>
          <t>用户属性导入（profile_set）</t>
        </is>
      </c>
      <c r="D3" s="3" t="inlineStr">
        <is>
          <t>1. 事件数据已导入
2. 用户列表已生成
3. profile_set 接口可用</t>
        </is>
      </c>
      <c r="E3" s="3" t="inlineStr">
        <is>
          <t>1. 调用 profile_set 接口导入用户属性
2. 检查 users 表属性是否更新</t>
        </is>
      </c>
      <c r="F3" s="3" t="inlineStr">
        <is>
          <t>1. 接口返回成功
2. users 表中用户属性正确
3. 属性类型与定义一致</t>
        </is>
      </c>
      <c r="G3" s="2" t="inlineStr">
        <is>
          <t>P0</t>
        </is>
      </c>
      <c r="H3" s="3" t="inlineStr"/>
      <c r="I3" s="2" t="inlineStr">
        <is>
          <t>未执行</t>
        </is>
      </c>
      <c r="J3" s="2" t="inlineStr"/>
      <c r="K3" s="2" t="inlineStr"/>
      <c r="L3" s="3" t="inlineStr"/>
    </row>
    <row r="4" ht="60" customHeight="1">
      <c r="A4" s="2" t="inlineStr">
        <is>
          <t>TC-003</t>
        </is>
      </c>
      <c r="B4" s="3" t="inlineStr">
        <is>
          <t>元数据</t>
        </is>
      </c>
      <c r="C4" s="3" t="inlineStr">
        <is>
          <t>事件元数据创建与查询</t>
        </is>
      </c>
      <c r="D4" s="3" t="inlineStr">
        <is>
          <t>1. 管理员权限账号
2. Open API 已启用</t>
        </is>
      </c>
      <c r="E4" s="3" t="inlineStr">
        <is>
          <t>1. 调用元数据 API 创建测试事件
2. 在神策后台查看事件列表
3. 验证事件属性完整</t>
        </is>
      </c>
      <c r="F4" s="3" t="inlineStr">
        <is>
          <t>1. API 返回成功
2. 后台可见新事件
3. 属性列表与创建一致</t>
        </is>
      </c>
      <c r="G4" s="2" t="inlineStr">
        <is>
          <t>P1</t>
        </is>
      </c>
      <c r="H4" s="3" t="inlineStr"/>
      <c r="I4" s="2" t="inlineStr">
        <is>
          <t>未执行</t>
        </is>
      </c>
      <c r="J4" s="2" t="inlineStr"/>
      <c r="K4" s="2" t="inlineStr"/>
      <c r="L4" s="3" t="inlineStr"/>
    </row>
    <row r="5" ht="60" customHeight="1">
      <c r="A5" s="2" t="inlineStr">
        <is>
          <t>TC-004</t>
        </is>
      </c>
      <c r="B5" s="3" t="inlineStr">
        <is>
          <t>查询分析</t>
        </is>
      </c>
      <c r="C5" s="3" t="inlineStr">
        <is>
          <t>事件分析看板查询响应</t>
        </is>
      </c>
      <c r="D5" s="3" t="inlineStr">
        <is>
          <t>1. 测试数据已导入（&gt;=1万条）
2. 看板已配置</t>
        </is>
      </c>
      <c r="E5" s="3" t="inlineStr">
        <is>
          <t>1. 打开事件分析看板
2. 选择 7 天时间范围
3. 记录查询响应时间</t>
        </is>
      </c>
      <c r="F5" s="3" t="inlineStr">
        <is>
          <t>1. 页面正常加载
2. P99 响应时间 &lt;=3s
3. 数据结果正确</t>
        </is>
      </c>
      <c r="G5" s="2" t="inlineStr">
        <is>
          <t>P1</t>
        </is>
      </c>
      <c r="H5" s="3" t="inlineStr"/>
      <c r="I5" s="2" t="inlineStr">
        <is>
          <t>未执行</t>
        </is>
      </c>
      <c r="J5" s="2" t="inlineStr"/>
      <c r="K5" s="2" t="inlineStr"/>
      <c r="L5" s="3" t="inlineStr"/>
    </row>
    <row r="6" ht="60" customHeight="1">
      <c r="A6" s="2" t="inlineStr">
        <is>
          <t>TC-005</t>
        </is>
      </c>
      <c r="B6" s="3" t="inlineStr">
        <is>
          <t>用户分群</t>
        </is>
      </c>
      <c r="C6" s="3" t="inlineStr">
        <is>
          <t>分群计算结果验证</t>
        </is>
      </c>
      <c r="D6" s="3" t="inlineStr">
        <is>
          <t>1. 用户属性已导入
2. 分群规则已定义</t>
        </is>
      </c>
      <c r="E6" s="3" t="inlineStr">
        <is>
          <t>1. 创建用户分群（如：近7天活跃用户）
2. 等待分群计算完成
3. 导出分群用户列表核对</t>
        </is>
      </c>
      <c r="F6" s="3" t="inlineStr">
        <is>
          <t>1. 分群计算成功
2. 用户数与预期一致
3. 用户属性匹配规则条件</t>
        </is>
      </c>
      <c r="G6" s="2" t="inlineStr">
        <is>
          <t>P1</t>
        </is>
      </c>
      <c r="H6" s="3" t="inlineStr"/>
      <c r="I6" s="2" t="inlineStr">
        <is>
          <t>未执行</t>
        </is>
      </c>
      <c r="J6" s="2" t="inlineStr"/>
      <c r="K6" s="2" t="inlineStr"/>
      <c r="L6" s="3" t="inlineStr"/>
    </row>
    <row r="7" ht="60" customHeight="1">
      <c r="A7" s="2" t="inlineStr">
        <is>
          <t>TC-006</t>
        </is>
      </c>
      <c r="B7" s="3" t="inlineStr">
        <is>
          <t>ID-Mapping</t>
        </is>
      </c>
      <c r="C7" s="3" t="inlineStr">
        <is>
          <t>跨平台用户身份关联</t>
        </is>
      </c>
      <c r="D7" s="3" t="inlineStr">
        <is>
          <t>1. Mini Program + Web 数据已导入
2. 同一用户有不同平台 ID</t>
        </is>
      </c>
      <c r="E7" s="3" t="inlineStr">
        <is>
          <t>1. 查询同一用户的 distinct_id 列表
2. 验证 identity 关联是否正确
3. 检查用户事件是否合并</t>
        </is>
      </c>
      <c r="F7" s="3" t="inlineStr">
        <is>
          <t>1. 同一用户的多个 ID 已关联
2. 跨平台事件归属同一用户
3. 用户画像属性合并正确</t>
        </is>
      </c>
      <c r="G7" s="2" t="inlineStr">
        <is>
          <t>P0</t>
        </is>
      </c>
      <c r="H7" s="3" t="inlineStr"/>
      <c r="I7" s="2" t="inlineStr">
        <is>
          <t>未执行</t>
        </is>
      </c>
      <c r="J7" s="2" t="inlineStr"/>
      <c r="K7" s="2" t="inlineStr"/>
      <c r="L7" s="3" t="inlineStr"/>
    </row>
    <row r="8" ht="60" customHeight="1">
      <c r="A8" s="2" t="inlineStr">
        <is>
          <t>TC-007</t>
        </is>
      </c>
      <c r="B8" s="3" t="inlineStr">
        <is>
          <t>数据保留</t>
        </is>
      </c>
      <c r="C8" s="3" t="inlineStr">
        <is>
          <t>过期数据清理验证</t>
        </is>
      </c>
      <c r="D8" s="3" t="inlineStr">
        <is>
          <t>1. 系统已运行超过保留周期
2. 有历史数据可验证</t>
        </is>
      </c>
      <c r="E8" s="3" t="inlineStr">
        <is>
          <t>1. 查询超出保留周期的日期
2. 确认 events 表中无该日期数据
3. 检查存储空间释放</t>
        </is>
      </c>
      <c r="F8" s="3" t="inlineStr">
        <is>
          <t>1. 过期数据已清理
2. 查询无结果
3. 磁盘空间符合预期</t>
        </is>
      </c>
      <c r="G8" s="2" t="inlineStr">
        <is>
          <t>P2</t>
        </is>
      </c>
      <c r="H8" s="3" t="inlineStr"/>
      <c r="I8" s="2" t="inlineStr">
        <is>
          <t>未执行</t>
        </is>
      </c>
      <c r="J8" s="2" t="inlineStr"/>
      <c r="K8" s="2" t="inlineStr"/>
      <c r="L8" s="3" t="inlineStr"/>
    </row>
    <row r="9" ht="60" customHeight="1">
      <c r="A9" s="2" t="inlineStr">
        <is>
          <t>TC-008</t>
        </is>
      </c>
      <c r="B9" s="3" t="inlineStr">
        <is>
          <t>并发</t>
        </is>
      </c>
      <c r="C9" s="3" t="inlineStr">
        <is>
          <t>多用户同时查询</t>
        </is>
      </c>
      <c r="D9" s="3" t="inlineStr">
        <is>
          <t>1. 5 个以上测试账号
2. 典型看板已配置</t>
        </is>
      </c>
      <c r="E9" s="3" t="inlineStr">
        <is>
          <t>1. 5 个用户同时打开看板
2. 记录各用户加载时间
3. 检查是否有超时或错误</t>
        </is>
      </c>
      <c r="F9" s="3" t="inlineStr">
        <is>
          <t>1. 所有用户正常加载
2. 无超时/错误
3. 响应时间无明显劣化</t>
        </is>
      </c>
      <c r="G9" s="2" t="inlineStr">
        <is>
          <t>P1</t>
        </is>
      </c>
      <c r="H9" s="3" t="inlineStr"/>
      <c r="I9" s="2" t="inlineStr">
        <is>
          <t>未执行</t>
        </is>
      </c>
      <c r="J9" s="2" t="inlineStr"/>
      <c r="K9" s="2" t="inlineStr"/>
      <c r="L9" s="3" t="inlineStr"/>
    </row>
  </sheetData>
  <autoFilter ref="A1:L9"/>
  <conditionalFormatting sqref="I2:I1000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</conditionalFormatting>
  <dataValidations count="2">
    <dataValidation sqref="G2:G1000" showDropDown="0" showInputMessage="0" showErrorMessage="0" allowBlank="1" errorTitle="优先级错误" error="请选择 P0/P1/P2" promptTitle="优先级" prompt="P0=阻塞上线, P1=重要, P2=一般" type="list">
      <formula1>"P0,P1,P2"</formula1>
    </dataValidation>
    <dataValidation sqref="I2:I1000" showDropDown="0" showInputMessage="0" showErrorMessage="0" allowBlank="1" errorTitle="状态错误" error="请选择有效状态" promptTitle="执行状态" prompt="通过/失败/阻塞/未执行" type="list">
      <formula1>"通过,失败,阻塞,未执行"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1" t="inlineStr">
        <is>
          <t>统计项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总用例数</t>
        </is>
      </c>
      <c r="B2" s="2">
        <f>COUNTA(SIT测试用例!A2:A1000)</f>
        <v/>
      </c>
      <c r="C2" s="3" t="inlineStr">
        <is>
          <t>所有测试用例数量</t>
        </is>
      </c>
    </row>
    <row r="3">
      <c r="A3" s="2" t="inlineStr">
        <is>
          <t>P0 用例数</t>
        </is>
      </c>
      <c r="B3" s="2">
        <f>COUNTIF(SIT测试用例!G:G,"P0")</f>
        <v/>
      </c>
      <c r="C3" s="3" t="inlineStr">
        <is>
          <t>阻塞上线的用例数</t>
        </is>
      </c>
    </row>
    <row r="4">
      <c r="A4" s="2" t="inlineStr">
        <is>
          <t>P1 用例数</t>
        </is>
      </c>
      <c r="B4" s="2">
        <f>COUNTIF(SIT测试用例!G:G,"P1")</f>
        <v/>
      </c>
      <c r="C4" s="3" t="inlineStr">
        <is>
          <t>重要用例数</t>
        </is>
      </c>
    </row>
    <row r="5">
      <c r="A5" s="2" t="inlineStr">
        <is>
          <t>P2 用例数</t>
        </is>
      </c>
      <c r="B5" s="2">
        <f>COUNTIF(SIT测试用例!G:G,"P2")</f>
        <v/>
      </c>
      <c r="C5" s="3" t="inlineStr">
        <is>
          <t>一般用例数</t>
        </is>
      </c>
    </row>
    <row r="6">
      <c r="A6" s="2" t="inlineStr">
        <is>
          <t>通过数</t>
        </is>
      </c>
      <c r="B6" s="2">
        <f>COUNTIF(SIT测试用例!I:I,"通过")</f>
        <v/>
      </c>
      <c r="C6" s="3" t="inlineStr">
        <is>
          <t>已通过的用例数</t>
        </is>
      </c>
    </row>
    <row r="7">
      <c r="A7" s="2" t="inlineStr">
        <is>
          <t>失败数</t>
        </is>
      </c>
      <c r="B7" s="2">
        <f>COUNTIF(SIT测试用例!I:I,"失败")</f>
        <v/>
      </c>
      <c r="C7" s="3" t="inlineStr">
        <is>
          <t>失败的用例数</t>
        </is>
      </c>
    </row>
    <row r="8">
      <c r="A8" s="2" t="inlineStr">
        <is>
          <t>阻塞数</t>
        </is>
      </c>
      <c r="B8" s="2">
        <f>COUNTIF(SIT测试用例!I:I,"阻塞")</f>
        <v/>
      </c>
      <c r="C8" s="3" t="inlineStr">
        <is>
          <t>阻塞的用例数</t>
        </is>
      </c>
    </row>
    <row r="9">
      <c r="A9" s="2" t="inlineStr">
        <is>
          <t>未执行数</t>
        </is>
      </c>
      <c r="B9" s="2">
        <f>COUNTIF(SIT测试用例!I:I,"未执行")</f>
        <v/>
      </c>
      <c r="C9" s="3" t="inlineStr">
        <is>
          <t>尚未执行的用例数</t>
        </is>
      </c>
    </row>
    <row r="10">
      <c r="A10" s="2" t="inlineStr">
        <is>
          <t>通过率</t>
        </is>
      </c>
      <c r="B10" s="2">
        <f>IF(B1&gt;0,B5/B1,"-")</f>
        <v/>
      </c>
      <c r="C10" s="3" t="inlineStr">
        <is>
          <t>通过用例占总用例比例</t>
        </is>
      </c>
    </row>
    <row r="11">
      <c r="A11" s="2" t="inlineStr">
        <is>
          <t>P0 通过率</t>
        </is>
      </c>
      <c r="B11" s="2">
        <f>IF(B2&gt;0,COUNTIFS(SIT测试用例!G:G,"P0",SIT测试用例!I:I,"通过")/B2,"-")</f>
        <v/>
      </c>
      <c r="C11" s="3" t="inlineStr">
        <is>
          <t>P0 用例通过比例（阻塞上线指标）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SIT 测试用例模板使用说明</t>
        </is>
      </c>
    </row>
    <row r="2">
      <c r="A2" s="5" t="inlineStr">
        <is>
          <t>1. 用例编号规则</t>
        </is>
      </c>
    </row>
    <row r="3">
      <c r="A3" t="inlineStr">
        <is>
          <t xml:space="preserve">   格式：TC-NNN（如 TC-001, TC-002）</t>
        </is>
      </c>
    </row>
    <row r="4">
      <c r="A4" t="inlineStr">
        <is>
          <t xml:space="preserve">   同一项目内连续编号，不允许跳号或重复</t>
        </is>
      </c>
    </row>
    <row r="5">
      <c r="A5" s="5" t="inlineStr">
        <is>
          <t>2. 优先级定义</t>
        </is>
      </c>
    </row>
    <row r="6">
      <c r="A6" t="inlineStr">
        <is>
          <t xml:space="preserve">   P0：阻塞上线 — 失败则禁止上线</t>
        </is>
      </c>
    </row>
    <row r="7">
      <c r="A7" t="inlineStr">
        <is>
          <t xml:space="preserve">   P1：重要 — 影响核心功能，需修复</t>
        </is>
      </c>
    </row>
    <row r="8">
      <c r="A8" t="inlineStr">
        <is>
          <t xml:space="preserve">   P2：一般 — 非阻塞，可记录为已知问题</t>
        </is>
      </c>
    </row>
    <row r="9">
      <c r="A9" s="5" t="inlineStr">
        <is>
          <t>3. 状态定义</t>
        </is>
      </c>
    </row>
    <row r="10">
      <c r="A10" t="inlineStr">
        <is>
          <t xml:space="preserve">   通过：实际结果与预期一致</t>
        </is>
      </c>
    </row>
    <row r="11">
      <c r="A11" t="inlineStr">
        <is>
          <t xml:space="preserve">   失败：实际结果与预期不符，需记录差异</t>
        </is>
      </c>
    </row>
    <row r="12">
      <c r="A12" t="inlineStr">
        <is>
          <t xml:space="preserve">   阻塞：因环境/依赖问题无法执行，需解除阻塞后重试</t>
        </is>
      </c>
    </row>
    <row r="13">
      <c r="A13" t="inlineStr">
        <is>
          <t xml:space="preserve">   未执行：尚未执行</t>
        </is>
      </c>
    </row>
    <row r="14">
      <c r="A14" s="5" t="inlineStr">
        <is>
          <t>4. 执行流程</t>
        </is>
      </c>
    </row>
    <row r="15">
      <c r="A15" t="inlineStr">
        <is>
          <t xml:space="preserve">   Step 1：在「SIT测试用例」sheet 中填写/补充用例</t>
        </is>
      </c>
    </row>
    <row r="16">
      <c r="A16" t="inlineStr">
        <is>
          <t xml:space="preserve">   Step 2：按用例逐条执行，填写「实际结果」和「状态」</t>
        </is>
      </c>
    </row>
    <row r="17">
      <c r="A17" t="inlineStr">
        <is>
          <t xml:space="preserve">   Step 3：「测试汇总」sheet 自动统计（无需手动更新）</t>
        </is>
      </c>
    </row>
    <row r="18">
      <c r="A18" t="inlineStr">
        <is>
          <t xml:space="preserve">   Step 4：所有 P0 用例通过后方可出具上线建议</t>
        </is>
      </c>
    </row>
    <row r="19">
      <c r="A19" s="5" t="inlineStr">
        <is>
          <t>5. 注意事项</t>
        </is>
      </c>
    </row>
    <row r="20">
      <c r="A20" t="inlineStr">
        <is>
          <t xml:space="preserve">   - 操作步骤需具体到可复现（点击哪里、输入什么）</t>
        </is>
      </c>
    </row>
    <row r="21">
      <c r="A21" t="inlineStr">
        <is>
          <t xml:space="preserve">   - 预期结果需可判定（不能写正常，要写具体判断标准）</t>
        </is>
      </c>
    </row>
    <row r="22">
      <c r="A22" t="inlineStr">
        <is>
          <t xml:space="preserve">   - 失败用例必须记录：复现步骤、实际结果、截图附件</t>
        </is>
      </c>
    </row>
    <row r="23">
      <c r="A23" t="inlineStr">
        <is>
          <t xml:space="preserve">   - 阻塞用例必须记录：阻塞原因、预计解除时间、负责人</t>
        </is>
      </c>
    </row>
    <row r="24">
      <c r="A24" s="5" t="inlineStr">
        <is>
          <t>6. 与 performance-test 的关系</t>
        </is>
      </c>
    </row>
    <row r="25">
      <c r="A25" t="inlineStr">
        <is>
          <t xml:space="preserve">   - SIT 验证功能正确性</t>
        </is>
      </c>
    </row>
    <row r="26">
      <c r="A26" t="inlineStr">
        <is>
          <t xml:space="preserve">   - performance-test 验证性能指标（TPS/响应时间/并发）</t>
        </is>
      </c>
    </row>
    <row r="27">
      <c r="A27" t="inlineStr">
        <is>
          <t xml:space="preserve">   - 两者并行执行，结果合并到上线评估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2026-06-11T03:24:50Z</dcterms:created>
  <dcterms:modified xmlns:dcterms="http://purl.org/dc/terms/" xmlns:xsi="http://www.w3.org/2001/XMLSchema-instance" xsi:type="dcterms:W3CDTF">2026-06-11T03:24:50Z</dcterms:modified>
</cp:coreProperties>
</file>